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ichals\Documents\SVN\WSN_Altium\BOM_Template\"/>
    </mc:Choice>
  </mc:AlternateContent>
  <bookViews>
    <workbookView xWindow="480" yWindow="120" windowWidth="19995" windowHeight="15585"/>
  </bookViews>
  <sheets>
    <sheet name="BOM" sheetId="1" r:id="rId1"/>
    <sheet name="Do NOT Modify" sheetId="2" state="hidden" r:id="rId2"/>
  </sheets>
  <definedNames>
    <definedName name="_xlnm._FilterDatabase" localSheetId="0" hidden="1">BOM!$A$2:$AP$5</definedName>
    <definedName name="KursyC" localSheetId="1">'Do NOT Modify'!$D$1:$G$15</definedName>
    <definedName name="_xlnm.Print_Area" localSheetId="0">BOM!$A$2:$K$5</definedName>
  </definedNames>
  <calcPr calcId="162913"/>
</workbook>
</file>

<file path=xl/calcChain.xml><?xml version="1.0" encoding="utf-8"?>
<calcChain xmlns="http://schemas.openxmlformats.org/spreadsheetml/2006/main">
  <c r="AJ4" i="1" l="1"/>
  <c r="AJ5" i="1"/>
  <c r="AJ3" i="1"/>
  <c r="AD4" i="1" l="1"/>
  <c r="AD5" i="1"/>
  <c r="AD3" i="1"/>
  <c r="Z4" i="1"/>
  <c r="Z5" i="1"/>
  <c r="Z3" i="1"/>
  <c r="V4" i="1"/>
  <c r="V5" i="1"/>
  <c r="V3" i="1"/>
  <c r="R4" i="1"/>
  <c r="R5" i="1"/>
  <c r="R3" i="1"/>
  <c r="N4" i="1"/>
  <c r="N5" i="1"/>
  <c r="N3" i="1"/>
  <c r="I4" i="1" l="1"/>
  <c r="I5" i="1"/>
  <c r="I3" i="1"/>
  <c r="AO3" i="1" l="1"/>
  <c r="AO4" i="1"/>
  <c r="AO5" i="1" l="1"/>
  <c r="AO8" i="1" s="1"/>
  <c r="AO7" i="1" l="1"/>
  <c r="I4" i="2" l="1"/>
  <c r="I5" i="2"/>
  <c r="I6" i="2"/>
  <c r="I7" i="2"/>
  <c r="I8" i="2"/>
  <c r="I9" i="2"/>
  <c r="I10" i="2"/>
  <c r="I11" i="2"/>
  <c r="I12" i="2"/>
  <c r="I13" i="2"/>
  <c r="I14" i="2"/>
  <c r="I15" i="2"/>
  <c r="I3" i="2"/>
  <c r="H4" i="2"/>
  <c r="H5" i="2"/>
  <c r="H6" i="2"/>
  <c r="H7" i="2"/>
  <c r="H8" i="2"/>
  <c r="H9" i="2"/>
  <c r="H10" i="2"/>
  <c r="J10" i="2" s="1"/>
  <c r="K10" i="2" s="1"/>
  <c r="H11" i="2"/>
  <c r="H12" i="2"/>
  <c r="J12" i="2" s="1"/>
  <c r="K12" i="2" s="1"/>
  <c r="H13" i="2"/>
  <c r="H14" i="2"/>
  <c r="J14" i="2" s="1"/>
  <c r="K14" i="2" s="1"/>
  <c r="H15" i="2"/>
  <c r="H3" i="2"/>
  <c r="J3" i="2" s="1"/>
  <c r="K3" i="2" s="1"/>
  <c r="J13" i="2" l="1"/>
  <c r="K13" i="2" s="1"/>
  <c r="J9" i="2"/>
  <c r="K9" i="2" s="1"/>
  <c r="J5" i="2"/>
  <c r="K5" i="2" s="1"/>
  <c r="J8" i="2"/>
  <c r="K8" i="2" s="1"/>
  <c r="J4" i="2"/>
  <c r="K4" i="2" s="1"/>
  <c r="J6" i="2"/>
  <c r="K6" i="2" s="1"/>
  <c r="J15" i="2"/>
  <c r="K15" i="2" s="1"/>
  <c r="J11" i="2"/>
  <c r="K11" i="2" s="1"/>
  <c r="J7" i="2"/>
  <c r="K7" i="2" s="1"/>
  <c r="AP4" i="1"/>
  <c r="AP5" i="1"/>
  <c r="AP3" i="1"/>
  <c r="AE4" i="1" l="1"/>
  <c r="AE5" i="1"/>
  <c r="AE3" i="1"/>
  <c r="AA4" i="1"/>
  <c r="AA5" i="1"/>
  <c r="AA3" i="1"/>
  <c r="W4" i="1"/>
  <c r="W5" i="1"/>
  <c r="W3" i="1"/>
  <c r="S4" i="1"/>
  <c r="S5" i="1"/>
  <c r="S3" i="1"/>
  <c r="O4" i="1"/>
  <c r="O5" i="1"/>
  <c r="O3" i="1"/>
  <c r="A3" i="1" l="1"/>
  <c r="A4" i="1"/>
  <c r="A5" i="1"/>
</calcChain>
</file>

<file path=xl/connections.xml><?xml version="1.0" encoding="utf-8"?>
<connections xmlns="http://schemas.openxmlformats.org/spreadsheetml/2006/main">
  <connection id="1" name="Connection" type="4" refreshedVersion="6" background="1" refreshOnLoad="1" saveData="1">
    <webPr sourceData="1" parsePre="1" consecutive="1" xl2000="1" url="http://www.nbp.pl/Kursy/KursyC.html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<sst xmlns="http://schemas.openxmlformats.org/spreadsheetml/2006/main" count="69" uniqueCount="68">
  <si>
    <t>Column=Quantity</t>
  </si>
  <si>
    <t>Column=Description</t>
  </si>
  <si>
    <t>Column=Footprint</t>
  </si>
  <si>
    <t>Column=Comment</t>
  </si>
  <si>
    <t>Column=Designator</t>
  </si>
  <si>
    <t>#</t>
  </si>
  <si>
    <t>Column=Value</t>
  </si>
  <si>
    <t>Column=Supplier 1</t>
  </si>
  <si>
    <t>Column=Supplier Part Number 1</t>
  </si>
  <si>
    <t>Column=Supplier 2</t>
  </si>
  <si>
    <t>Column=Supplier Part Number 2</t>
  </si>
  <si>
    <t>Column=Supplier 3</t>
  </si>
  <si>
    <t>Column=Supplier Part Number 3</t>
  </si>
  <si>
    <t>Column=Supplier 4</t>
  </si>
  <si>
    <t>Column=Supplier Part Number 4</t>
  </si>
  <si>
    <t>Column=Supplier 5</t>
  </si>
  <si>
    <t>Column=Supplier Part Number 5</t>
  </si>
  <si>
    <t>BOM</t>
  </si>
  <si>
    <t>Field=Title</t>
  </si>
  <si>
    <t>Field=ReportTime</t>
  </si>
  <si>
    <t>Field=ProjectFileName</t>
  </si>
  <si>
    <t>Supplier Part Number / URL 1</t>
  </si>
  <si>
    <t>Supplier Part Number / URL 2</t>
  </si>
  <si>
    <t>Supplier Part Number / URL 3</t>
  </si>
  <si>
    <t>Supplier Part Number / URL 4</t>
  </si>
  <si>
    <t>Supplier Part Number / URL 5</t>
  </si>
  <si>
    <t>Column=Supplier Part Number 6</t>
  </si>
  <si>
    <t>Column=Supplier URL 6</t>
  </si>
  <si>
    <t>Supplier Part Number / URL 6</t>
  </si>
  <si>
    <t>Column=Supplier 6</t>
  </si>
  <si>
    <t>Order Supplier</t>
  </si>
  <si>
    <t>Order Qty</t>
  </si>
  <si>
    <t>Order Price per Qty</t>
  </si>
  <si>
    <t>Overall Price</t>
  </si>
  <si>
    <t>Order URL</t>
  </si>
  <si>
    <t>TME</t>
  </si>
  <si>
    <t>Supplier 1</t>
  </si>
  <si>
    <t>Supplier 2</t>
  </si>
  <si>
    <t>Supplier 3</t>
  </si>
  <si>
    <t>Supplier 4</t>
  </si>
  <si>
    <t>Supplier 5</t>
  </si>
  <si>
    <t>Supplier 6</t>
  </si>
  <si>
    <t>Other</t>
  </si>
  <si>
    <t>RS Components</t>
  </si>
  <si>
    <t>Farnell</t>
  </si>
  <si>
    <t>Mouser</t>
  </si>
  <si>
    <t>DigiKey</t>
  </si>
  <si>
    <t>PLN</t>
  </si>
  <si>
    <t>USD</t>
  </si>
  <si>
    <t>EUR</t>
  </si>
  <si>
    <t>Currency</t>
  </si>
  <si>
    <t>Column=Supplier URL 1</t>
  </si>
  <si>
    <t>Column=Supplier URL 2</t>
  </si>
  <si>
    <t>Column=Supplier URL 3</t>
  </si>
  <si>
    <t>Column=Supplier URL 4</t>
  </si>
  <si>
    <t>Column=Supplier URL 5</t>
  </si>
  <si>
    <t>GBP</t>
  </si>
  <si>
    <t>kupna - num</t>
  </si>
  <si>
    <t>sprzedaży - num</t>
  </si>
  <si>
    <t>średni - num</t>
  </si>
  <si>
    <t>IS AVERAGE NUMBER?</t>
  </si>
  <si>
    <t>DO NOT Order</t>
  </si>
  <si>
    <t>Description</t>
  </si>
  <si>
    <t>Column=voltage</t>
  </si>
  <si>
    <t>Column=dielectric</t>
  </si>
  <si>
    <t>Column=Manufacturer Part Number</t>
  </si>
  <si>
    <t>SUM NETTO</t>
  </si>
  <si>
    <t>SUM BRUTTO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</si>
</sst>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[$zł-415]_-;\-* #,##0.00\ [$zł-415]_-;_-* &quot;-&quot;??\ [$zł-415]_-;_-@_-"/>
  </numFmts>
  <fonts count="10" x14ac:knownFonts="1">
    <font>
      <sz val="10"/>
      <name val="Arial"/>
      <charset val="204"/>
    </font>
    <font>
      <b/>
      <sz val="10"/>
      <name val="Arial"/>
      <family val="2"/>
    </font>
    <font>
      <sz val="8"/>
      <name val="Arial"/>
      <family val="2"/>
      <charset val="238"/>
    </font>
    <font>
      <b/>
      <sz val="10"/>
      <name val="Arial"/>
      <family val="2"/>
      <charset val="238"/>
    </font>
    <font>
      <b/>
      <sz val="12"/>
      <name val="Arial"/>
      <family val="2"/>
      <charset val="238"/>
    </font>
    <font>
      <b/>
      <sz val="16"/>
      <name val="Arial"/>
      <family val="2"/>
      <charset val="238"/>
    </font>
    <font>
      <u/>
      <sz val="10"/>
      <color theme="10"/>
      <name val="Arial"/>
      <family val="2"/>
      <charset val="238"/>
    </font>
    <font>
      <sz val="10"/>
      <name val="Arial"/>
      <family val="2"/>
      <charset val="238"/>
    </font>
    <font>
      <b/>
      <sz val="10"/>
      <color rgb="FF00B050"/>
      <name val="Arial"/>
      <family val="2"/>
      <charset val="238"/>
    </font>
    <font>
      <sz val="10"/>
      <color rgb="FF00B050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hair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0" fontId="7" fillId="0" borderId="10" xfId="0" applyFont="1" applyBorder="1"/>
    <xf numFmtId="0" fontId="1" fillId="2" borderId="4" xfId="0" applyFont="1" applyFill="1" applyBorder="1" applyAlignment="1">
      <alignment horizontal="center" wrapText="1"/>
    </xf>
    <xf numFmtId="0" fontId="1" fillId="2" borderId="4" xfId="0" quotePrefix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6" fillId="0" borderId="1" xfId="1" applyBorder="1" applyAlignment="1">
      <alignment horizontal="left" vertical="center" wrapText="1"/>
    </xf>
    <xf numFmtId="0" fontId="0" fillId="3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3" borderId="2" xfId="0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7" fillId="0" borderId="0" xfId="0" applyFont="1"/>
    <xf numFmtId="0" fontId="0" fillId="0" borderId="12" xfId="0" applyBorder="1"/>
    <xf numFmtId="0" fontId="0" fillId="0" borderId="13" xfId="0" applyBorder="1"/>
    <xf numFmtId="0" fontId="3" fillId="2" borderId="15" xfId="0" applyFont="1" applyFill="1" applyBorder="1" applyAlignment="1">
      <alignment horizontal="left" vertical="center" wrapText="1"/>
    </xf>
    <xf numFmtId="0" fontId="0" fillId="0" borderId="17" xfId="0" applyBorder="1"/>
    <xf numFmtId="0" fontId="0" fillId="0" borderId="16" xfId="0" applyBorder="1" applyAlignment="1">
      <alignment horizontal="left" vertical="center" wrapText="1"/>
    </xf>
    <xf numFmtId="0" fontId="6" fillId="0" borderId="16" xfId="1" applyBorder="1" applyAlignment="1">
      <alignment horizontal="left" vertical="center" wrapText="1"/>
    </xf>
    <xf numFmtId="0" fontId="0" fillId="3" borderId="16" xfId="0" applyFill="1" applyBorder="1" applyAlignment="1">
      <alignment horizontal="left" vertical="center" wrapText="1"/>
    </xf>
    <xf numFmtId="0" fontId="1" fillId="4" borderId="20" xfId="0" applyFont="1" applyFill="1" applyBorder="1" applyAlignment="1">
      <alignment horizontal="center" wrapText="1"/>
    </xf>
    <xf numFmtId="0" fontId="0" fillId="0" borderId="19" xfId="0" applyBorder="1"/>
    <xf numFmtId="0" fontId="1" fillId="4" borderId="20" xfId="0" quotePrefix="1" applyFont="1" applyFill="1" applyBorder="1" applyAlignment="1">
      <alignment horizontal="center" wrapText="1"/>
    </xf>
    <xf numFmtId="0" fontId="1" fillId="4" borderId="21" xfId="0" applyFont="1" applyFill="1" applyBorder="1" applyAlignment="1">
      <alignment horizontal="center" wrapText="1"/>
    </xf>
    <xf numFmtId="0" fontId="1" fillId="2" borderId="21" xfId="0" applyFont="1" applyFill="1" applyBorder="1" applyAlignment="1">
      <alignment horizontal="center" wrapText="1"/>
    </xf>
    <xf numFmtId="0" fontId="1" fillId="2" borderId="21" xfId="0" quotePrefix="1" applyFont="1" applyFill="1" applyBorder="1" applyAlignment="1">
      <alignment horizontal="center" wrapText="1"/>
    </xf>
    <xf numFmtId="0" fontId="3" fillId="3" borderId="22" xfId="0" applyFont="1" applyFill="1" applyBorder="1" applyAlignment="1">
      <alignment vertical="center"/>
    </xf>
    <xf numFmtId="0" fontId="3" fillId="3" borderId="22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center" wrapText="1"/>
    </xf>
    <xf numFmtId="0" fontId="1" fillId="2" borderId="23" xfId="0" applyFont="1" applyFill="1" applyBorder="1" applyAlignment="1">
      <alignment horizontal="left" wrapText="1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64" fontId="3" fillId="2" borderId="14" xfId="0" applyNumberFormat="1" applyFont="1" applyFill="1" applyBorder="1" applyAlignment="1">
      <alignment horizontal="left" vertical="center" wrapText="1"/>
    </xf>
    <xf numFmtId="0" fontId="0" fillId="0" borderId="3" xfId="0" applyBorder="1"/>
    <xf numFmtId="0" fontId="0" fillId="2" borderId="3" xfId="0" applyFill="1" applyBorder="1"/>
    <xf numFmtId="0" fontId="7" fillId="0" borderId="26" xfId="0" applyFont="1" applyBorder="1"/>
    <xf numFmtId="0" fontId="7" fillId="0" borderId="0" xfId="0" applyFont="1" applyBorder="1"/>
    <xf numFmtId="0" fontId="0" fillId="0" borderId="0" xfId="0" applyBorder="1"/>
    <xf numFmtId="0" fontId="0" fillId="0" borderId="27" xfId="0" applyBorder="1"/>
    <xf numFmtId="0" fontId="3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8" fillId="0" borderId="3" xfId="0" applyFont="1" applyBorder="1" applyAlignment="1">
      <alignment wrapText="1"/>
    </xf>
    <xf numFmtId="0" fontId="3" fillId="0" borderId="3" xfId="0" applyFont="1" applyBorder="1"/>
    <xf numFmtId="0" fontId="0" fillId="2" borderId="3" xfId="0" applyFill="1" applyBorder="1" applyAlignment="1">
      <alignment wrapText="1"/>
    </xf>
    <xf numFmtId="0" fontId="9" fillId="2" borderId="3" xfId="0" applyFont="1" applyFill="1" applyBorder="1" applyAlignment="1">
      <alignment wrapText="1"/>
    </xf>
    <xf numFmtId="0" fontId="9" fillId="0" borderId="3" xfId="0" applyFont="1" applyBorder="1" applyAlignment="1">
      <alignment wrapText="1"/>
    </xf>
    <xf numFmtId="0" fontId="7" fillId="0" borderId="3" xfId="0" applyFont="1" applyBorder="1" applyAlignment="1">
      <alignment wrapText="1"/>
    </xf>
    <xf numFmtId="0" fontId="3" fillId="0" borderId="28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22" xfId="0" applyFont="1" applyFill="1" applyBorder="1" applyAlignment="1">
      <alignment wrapText="1"/>
    </xf>
    <xf numFmtId="0" fontId="3" fillId="0" borderId="31" xfId="0" applyFont="1" applyBorder="1" applyAlignment="1">
      <alignment wrapText="1"/>
    </xf>
    <xf numFmtId="0" fontId="3" fillId="0" borderId="22" xfId="0" applyFont="1" applyBorder="1" applyAlignment="1">
      <alignment wrapText="1"/>
    </xf>
    <xf numFmtId="164" fontId="0" fillId="3" borderId="1" xfId="0" applyNumberFormat="1" applyFill="1" applyBorder="1" applyAlignment="1">
      <alignment horizontal="left" vertical="center"/>
    </xf>
    <xf numFmtId="0" fontId="0" fillId="0" borderId="32" xfId="0" applyBorder="1" applyAlignment="1">
      <alignment horizontal="center" vertical="center" wrapText="1"/>
    </xf>
    <xf numFmtId="0" fontId="6" fillId="0" borderId="11" xfId="1" applyBorder="1" applyAlignment="1">
      <alignment horizontal="left" vertical="center" wrapText="1"/>
    </xf>
    <xf numFmtId="0" fontId="1" fillId="4" borderId="33" xfId="0" applyFont="1" applyFill="1" applyBorder="1" applyAlignment="1">
      <alignment horizontal="center" wrapText="1"/>
    </xf>
    <xf numFmtId="0" fontId="0" fillId="3" borderId="18" xfId="0" applyFill="1" applyBorder="1" applyAlignment="1">
      <alignment horizontal="left" vertical="center" wrapText="1"/>
    </xf>
    <xf numFmtId="0" fontId="0" fillId="0" borderId="34" xfId="0" applyBorder="1" applyAlignment="1"/>
    <xf numFmtId="0" fontId="0" fillId="0" borderId="11" xfId="0" applyBorder="1" applyAlignment="1">
      <alignment horizontal="center" vertical="center" wrapText="1"/>
    </xf>
    <xf numFmtId="0" fontId="3" fillId="2" borderId="35" xfId="0" applyFont="1" applyFill="1" applyBorder="1" applyAlignment="1">
      <alignment horizontal="left" vertical="center" wrapText="1"/>
    </xf>
    <xf numFmtId="0" fontId="0" fillId="0" borderId="34" xfId="0" applyBorder="1"/>
    <xf numFmtId="0" fontId="5" fillId="3" borderId="2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left" vertical="center"/>
    </xf>
    <xf numFmtId="0" fontId="3" fillId="3" borderId="2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KursyC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9"/>
  <sheetViews>
    <sheetView tabSelected="1" zoomScaleNormal="100" workbookViewId="0">
      <pane xSplit="2" ySplit="2" topLeftCell="T3" activePane="bottomRight" state="frozen"/>
      <selection pane="topRight" activeCell="C1" sqref="C1"/>
      <selection pane="bottomLeft" activeCell="A3" sqref="A3"/>
      <selection pane="bottomRight" activeCell="AJ5" sqref="AJ5"/>
    </sheetView>
  </sheetViews>
  <sheetFormatPr defaultRowHeight="12.75" x14ac:dyDescent="0.2"/>
  <cols>
    <col min="1" max="1" width="4.85546875" customWidth="1"/>
    <col min="2" max="2" width="18.42578125" customWidth="1"/>
    <col min="3" max="3" width="18.7109375" customWidth="1"/>
    <col min="4" max="8" width="13.28515625" customWidth="1"/>
    <col min="9" max="9" width="30.85546875" customWidth="1"/>
    <col min="10" max="10" width="34.140625" customWidth="1"/>
    <col min="11" max="11" width="25.140625" customWidth="1"/>
    <col min="12" max="12" width="15.28515625" customWidth="1"/>
    <col min="13" max="14" width="9.140625" hidden="1" customWidth="1"/>
    <col min="15" max="15" width="20.140625" customWidth="1"/>
    <col min="16" max="16" width="15.28515625" customWidth="1"/>
    <col min="17" max="18" width="9.140625" hidden="1" customWidth="1"/>
    <col min="19" max="19" width="20.140625" customWidth="1"/>
    <col min="20" max="20" width="15.28515625" customWidth="1"/>
    <col min="21" max="22" width="9.140625" hidden="1" customWidth="1"/>
    <col min="23" max="23" width="20.140625" customWidth="1"/>
    <col min="24" max="24" width="15.28515625" customWidth="1"/>
    <col min="25" max="26" width="9.140625" hidden="1" customWidth="1"/>
    <col min="27" max="27" width="20.140625" customWidth="1"/>
    <col min="28" max="28" width="15.28515625" customWidth="1"/>
    <col min="29" max="30" width="9.140625" hidden="1" customWidth="1"/>
    <col min="31" max="31" width="20.140625" customWidth="1"/>
    <col min="32" max="32" width="15.28515625" customWidth="1"/>
    <col min="33" max="35" width="9.140625" hidden="1" customWidth="1"/>
    <col min="36" max="36" width="20.140625" customWidth="1"/>
    <col min="37" max="37" width="13.28515625" customWidth="1"/>
    <col min="38" max="38" width="9.28515625" customWidth="1"/>
    <col min="39" max="39" width="10.42578125" customWidth="1"/>
    <col min="40" max="40" width="13" customWidth="1"/>
    <col min="41" max="41" width="11" customWidth="1"/>
    <col min="42" max="42" width="18.7109375" customWidth="1"/>
  </cols>
  <sheetData>
    <row r="1" spans="1:43" ht="23.25" customHeight="1" thickBot="1" x14ac:dyDescent="0.25">
      <c r="A1" s="73" t="s">
        <v>17</v>
      </c>
      <c r="B1" s="73"/>
      <c r="C1" s="74" t="s">
        <v>18</v>
      </c>
      <c r="D1" s="74"/>
      <c r="E1" s="74"/>
      <c r="F1" s="74"/>
      <c r="G1" s="74"/>
      <c r="H1" s="74"/>
      <c r="I1" s="74"/>
      <c r="J1" s="74"/>
      <c r="K1" s="75" t="s">
        <v>20</v>
      </c>
      <c r="L1" s="75"/>
      <c r="M1" s="76"/>
      <c r="N1" s="2"/>
      <c r="O1" s="38"/>
      <c r="P1" s="37" t="s">
        <v>19</v>
      </c>
      <c r="Q1" s="1"/>
      <c r="R1" s="1"/>
      <c r="S1" s="1"/>
      <c r="AM1" s="32"/>
      <c r="AN1" s="32"/>
      <c r="AO1" s="32"/>
      <c r="AP1" s="32"/>
    </row>
    <row r="2" spans="1:43" s="11" customFormat="1" ht="73.5" customHeight="1" thickTop="1" thickBot="1" x14ac:dyDescent="0.25">
      <c r="A2" s="40" t="s">
        <v>5</v>
      </c>
      <c r="B2" s="35" t="s">
        <v>6</v>
      </c>
      <c r="C2" s="39" t="s">
        <v>2</v>
      </c>
      <c r="D2" s="39" t="s">
        <v>0</v>
      </c>
      <c r="E2" s="39" t="s">
        <v>1</v>
      </c>
      <c r="F2" s="39" t="s">
        <v>63</v>
      </c>
      <c r="G2" s="39" t="s">
        <v>64</v>
      </c>
      <c r="H2" s="39" t="s">
        <v>65</v>
      </c>
      <c r="I2" s="39" t="s">
        <v>62</v>
      </c>
      <c r="J2" s="39" t="s">
        <v>3</v>
      </c>
      <c r="K2" s="35" t="s">
        <v>4</v>
      </c>
      <c r="L2" s="35" t="s">
        <v>7</v>
      </c>
      <c r="M2" s="9" t="s">
        <v>8</v>
      </c>
      <c r="N2" s="9" t="s">
        <v>51</v>
      </c>
      <c r="O2" s="36" t="s">
        <v>21</v>
      </c>
      <c r="P2" s="35" t="s">
        <v>9</v>
      </c>
      <c r="Q2" s="9" t="s">
        <v>10</v>
      </c>
      <c r="R2" s="9" t="s">
        <v>52</v>
      </c>
      <c r="S2" s="36" t="s">
        <v>22</v>
      </c>
      <c r="T2" s="35" t="s">
        <v>11</v>
      </c>
      <c r="U2" s="9" t="s">
        <v>12</v>
      </c>
      <c r="V2" s="9" t="s">
        <v>53</v>
      </c>
      <c r="W2" s="36" t="s">
        <v>23</v>
      </c>
      <c r="X2" s="35" t="s">
        <v>13</v>
      </c>
      <c r="Y2" s="9" t="s">
        <v>14</v>
      </c>
      <c r="Z2" s="9" t="s">
        <v>54</v>
      </c>
      <c r="AA2" s="36" t="s">
        <v>24</v>
      </c>
      <c r="AB2" s="35" t="s">
        <v>15</v>
      </c>
      <c r="AC2" s="10" t="s">
        <v>16</v>
      </c>
      <c r="AD2" s="10" t="s">
        <v>55</v>
      </c>
      <c r="AE2" s="35" t="s">
        <v>25</v>
      </c>
      <c r="AF2" s="36" t="s">
        <v>29</v>
      </c>
      <c r="AG2" s="9" t="s">
        <v>26</v>
      </c>
      <c r="AH2" s="10" t="s">
        <v>27</v>
      </c>
      <c r="AI2" s="10" t="s">
        <v>27</v>
      </c>
      <c r="AJ2" s="35" t="s">
        <v>28</v>
      </c>
      <c r="AK2" s="34" t="s">
        <v>30</v>
      </c>
      <c r="AL2" s="34" t="s">
        <v>31</v>
      </c>
      <c r="AM2" s="33" t="s">
        <v>32</v>
      </c>
      <c r="AN2" s="31" t="s">
        <v>50</v>
      </c>
      <c r="AO2" s="31" t="s">
        <v>33</v>
      </c>
      <c r="AP2" s="67" t="s">
        <v>34</v>
      </c>
    </row>
    <row r="3" spans="1:43" s="12" customFormat="1" ht="13.5" thickTop="1" x14ac:dyDescent="0.2">
      <c r="A3" s="41">
        <f>ROW(A3) - ROW($A$2)</f>
        <v>1</v>
      </c>
      <c r="B3" s="16"/>
      <c r="C3" s="14"/>
      <c r="D3" s="21"/>
      <c r="E3" s="21"/>
      <c r="F3" s="21"/>
      <c r="G3" s="21"/>
      <c r="H3" s="21"/>
      <c r="I3" s="14">
        <f>IF(OR(E3="Generic capacitor", E3="Polarized Capacitor"), (F3&amp;", "&amp;G3&amp;", "&amp;H3), E3)</f>
        <v>0</v>
      </c>
      <c r="J3" s="20"/>
      <c r="K3" s="14"/>
      <c r="L3" s="14"/>
      <c r="M3" s="13"/>
      <c r="N3" s="13" t="str">
        <f>CONCATENATE("https://octopart-clicks.com/click/altium?seller=TME&amp;sku=",M3,"&amp;country=PL&amp;ref=supplier&amp;")</f>
        <v>https://octopart-clicks.com/click/altium?seller=TME&amp;sku=&amp;country=PL&amp;ref=supplier&amp;</v>
      </c>
      <c r="O3" s="15" t="str">
        <f>IF(L3 = "", "", HYPERLINK(N3, M3))</f>
        <v/>
      </c>
      <c r="P3" s="14"/>
      <c r="Q3" s="13"/>
      <c r="R3" s="13" t="str">
        <f>CONCATENATE("https://octopart-clicks.com/click/altium?seller=RS&amp;sku=",Q3,"&amp;country=PL&amp;ref=supplier&amp;")</f>
        <v>https://octopart-clicks.com/click/altium?seller=RS&amp;sku=&amp;country=PL&amp;ref=supplier&amp;</v>
      </c>
      <c r="S3" s="15" t="str">
        <f>IF(P3 = "", "", HYPERLINK(R3,Q3))</f>
        <v/>
      </c>
      <c r="T3" s="14"/>
      <c r="U3" s="13"/>
      <c r="V3" s="13" t="str">
        <f>CONCATENATE("http://pl.farnell.com/",U3)</f>
        <v>http://pl.farnell.com/</v>
      </c>
      <c r="W3" s="15" t="str">
        <f>IF(T3= "", "", HYPERLINK(V3, U3))</f>
        <v/>
      </c>
      <c r="X3" s="14"/>
      <c r="Y3" s="13"/>
      <c r="Z3" s="13" t="str">
        <f>CONCATENATE("http://pl.mouser.com/ProductDetail/",Y3)</f>
        <v>http://pl.mouser.com/ProductDetail/</v>
      </c>
      <c r="AA3" s="15" t="str">
        <f>IF(X3= "", "", HYPERLINK(Z3,Y3))</f>
        <v/>
      </c>
      <c r="AB3" s="14"/>
      <c r="AC3" s="13"/>
      <c r="AD3" s="13" t="str">
        <f>CONCATENATE("https://octopart-clicks.com/click/altium?seller=DigiKey&amp;sku=",AC3,"&amp;country=US&amp;ref=supplier&amp;")</f>
        <v>https://octopart-clicks.com/click/altium?seller=DigiKey&amp;sku=&amp;country=US&amp;ref=supplier&amp;</v>
      </c>
      <c r="AE3" s="15" t="str">
        <f>IF(AB3= "", "", HYPERLINK(AD3,AC3))</f>
        <v/>
      </c>
      <c r="AF3" s="14"/>
      <c r="AG3" s="13"/>
      <c r="AH3" s="13"/>
      <c r="AI3" s="13"/>
      <c r="AJ3" s="15" t="str">
        <f>IF(AF3 = "", "", HYPERLINK(AH3,AG3))</f>
        <v/>
      </c>
      <c r="AK3" s="16"/>
      <c r="AL3" s="16"/>
      <c r="AM3" s="16"/>
      <c r="AN3" s="16"/>
      <c r="AO3" s="64" t="str">
        <f>IF(AN3 = "PLN", AL3*AM3, IF(AN3 = "EUR", AL3*AM3*'Do NOT Modify'!$J$6, IF(AN3 = "USD", AL3*AM3*'Do NOT Modify'!$J$3, IF(AN3 = "GBP", AL3*AM3*'Do NOT Modify'!$J$9, IF(AN3= "", "", "CURRENCY ERROR")))))</f>
        <v/>
      </c>
      <c r="AP3" s="68" t="str">
        <f>HYPERLINK(IF(AK3 = "TME", N3, IF(AK3 = "RS Components", R3, IF(AK3 = "Farnell", V3, IF(AK3 = "Mouser", Z3, IF(AK3 = "DigiKey", AD3, IF(AK3="Other", AI3, "")))))), IF(AK3 = "TME", M3, IF(AK3 = "RS Components", Q3, IF(AK3 = "Farnell", W3, IF(AK3 = "Mouser", Y3, IF(AK3 = "DigiKey", AC3, IF(AK3="Other", AG3, "")))))))</f>
        <v/>
      </c>
    </row>
    <row r="4" spans="1:43" s="12" customFormat="1" x14ac:dyDescent="0.2">
      <c r="A4" s="41">
        <f>ROW(A4) - ROW($A$2)</f>
        <v>2</v>
      </c>
      <c r="B4" s="16"/>
      <c r="C4" s="14"/>
      <c r="D4" s="22"/>
      <c r="E4" s="21"/>
      <c r="F4" s="21"/>
      <c r="G4" s="21"/>
      <c r="H4" s="21"/>
      <c r="I4" s="14">
        <f t="shared" ref="I4:I5" si="0">IF(OR(E4="Generic capacitor", E4="Polarized Capacitor"), (F4&amp;", "&amp;G4&amp;", "&amp;H4), E4)</f>
        <v>0</v>
      </c>
      <c r="J4" s="14"/>
      <c r="K4" s="18"/>
      <c r="L4" s="18"/>
      <c r="M4" s="17"/>
      <c r="N4" s="13" t="str">
        <f t="shared" ref="N4:N5" si="1">CONCATENATE("https://octopart-clicks.com/click/altium?seller=TME&amp;sku=",M4,"&amp;country=PL&amp;ref=supplier&amp;")</f>
        <v>https://octopart-clicks.com/click/altium?seller=TME&amp;sku=&amp;country=PL&amp;ref=supplier&amp;</v>
      </c>
      <c r="O4" s="15" t="str">
        <f t="shared" ref="O4:O5" si="2">IF(L4 = "", "", HYPERLINK(N4, M4))</f>
        <v/>
      </c>
      <c r="P4" s="18"/>
      <c r="Q4" s="17"/>
      <c r="R4" s="13" t="str">
        <f t="shared" ref="R4:R5" si="3">CONCATENATE("https://octopart-clicks.com/click/altium?seller=RS&amp;sku=",Q4,"&amp;country=PL&amp;ref=supplier&amp;")</f>
        <v>https://octopart-clicks.com/click/altium?seller=RS&amp;sku=&amp;country=PL&amp;ref=supplier&amp;</v>
      </c>
      <c r="S4" s="15" t="str">
        <f t="shared" ref="S4:S5" si="4">IF(P4 = "", "", HYPERLINK(R4,Q4))</f>
        <v/>
      </c>
      <c r="T4" s="18"/>
      <c r="U4" s="17"/>
      <c r="V4" s="13" t="str">
        <f t="shared" ref="V4:V5" si="5">CONCATENATE("http://pl.farnell.com/",U4)</f>
        <v>http://pl.farnell.com/</v>
      </c>
      <c r="W4" s="15" t="str">
        <f t="shared" ref="W4:W5" si="6">IF(T4= "", "", HYPERLINK(V4, U4))</f>
        <v/>
      </c>
      <c r="X4" s="18"/>
      <c r="Y4" s="17"/>
      <c r="Z4" s="13" t="str">
        <f t="shared" ref="Z4:Z5" si="7">CONCATENATE("http://pl.mouser.com/ProductDetail/",Y4)</f>
        <v>http://pl.mouser.com/ProductDetail/</v>
      </c>
      <c r="AA4" s="15" t="str">
        <f t="shared" ref="AA4:AA5" si="8">IF(X4= "", "", HYPERLINK(Z4,Y4))</f>
        <v/>
      </c>
      <c r="AB4" s="18"/>
      <c r="AC4" s="17"/>
      <c r="AD4" s="13" t="str">
        <f t="shared" ref="AD4:AD5" si="9">CONCATENATE("https://octopart-clicks.com/click/altium?seller=DigiKey&amp;sku=",AC4,"&amp;country=US&amp;ref=supplier&amp;")</f>
        <v>https://octopart-clicks.com/click/altium?seller=DigiKey&amp;sku=&amp;country=US&amp;ref=supplier&amp;</v>
      </c>
      <c r="AE4" s="15" t="str">
        <f t="shared" ref="AE4:AE5" si="10">IF(AB4= "", "", HYPERLINK(AD4,AC4))</f>
        <v/>
      </c>
      <c r="AF4" s="18"/>
      <c r="AG4" s="17"/>
      <c r="AH4" s="17"/>
      <c r="AI4" s="13"/>
      <c r="AJ4" s="15" t="str">
        <f t="shared" ref="AJ4:AJ5" si="11">IF(AF4 = "", "", HYPERLINK(AH4,AG4))</f>
        <v/>
      </c>
      <c r="AK4" s="16"/>
      <c r="AL4" s="19"/>
      <c r="AM4" s="19"/>
      <c r="AN4" s="16"/>
      <c r="AO4" s="64" t="str">
        <f>IF(AN4 = "PLN", AL4*AM4, IF(AN4 = "EUR", AL4*AM4*'Do NOT Modify'!$J$6, IF(AN4 = "USD", AL4*AM4*'Do NOT Modify'!$J$3, IF(AN4 = "GBP", AL4*AM4*'Do NOT Modify'!$J$9, IF(AN4= "", "", "CURRENCY ERROR")))))</f>
        <v/>
      </c>
      <c r="AP4" s="68" t="str">
        <f t="shared" ref="AP4:AP5" si="12">HYPERLINK(IF(AK4 = "TME", N4, IF(AK4 = "RS Components", R4, IF(AK4 = "Farnell", V4, IF(AK4 = "Mouser", Z4, IF(AK4 = "DigiKey", AD4, IF(AK4="Other", AI4, "")))))), IF(AK4 = "TME", M4, IF(AK4 = "RS Components", Q4, IF(AK4 = "Farnell", W4, IF(AK4 = "Mouser", Y4, IF(AK4 = "DigiKey", AC4, IF(AK4="Other", AG4, "")))))))</f>
        <v/>
      </c>
    </row>
    <row r="5" spans="1:43" s="12" customFormat="1" x14ac:dyDescent="0.2">
      <c r="A5" s="41">
        <f>ROW(A5) - ROW($A$2)</f>
        <v>3</v>
      </c>
      <c r="B5" s="16"/>
      <c r="C5" s="14"/>
      <c r="D5" s="22"/>
      <c r="E5" s="21"/>
      <c r="F5" s="21"/>
      <c r="G5" s="21"/>
      <c r="H5" s="21"/>
      <c r="I5" s="14">
        <f t="shared" si="0"/>
        <v>0</v>
      </c>
      <c r="J5" s="14"/>
      <c r="K5" s="18"/>
      <c r="L5" s="18"/>
      <c r="M5" s="17"/>
      <c r="N5" s="13" t="str">
        <f t="shared" si="1"/>
        <v>https://octopart-clicks.com/click/altium?seller=TME&amp;sku=&amp;country=PL&amp;ref=supplier&amp;</v>
      </c>
      <c r="O5" s="15" t="str">
        <f t="shared" si="2"/>
        <v/>
      </c>
      <c r="P5" s="18"/>
      <c r="Q5" s="17"/>
      <c r="R5" s="13" t="str">
        <f t="shared" si="3"/>
        <v>https://octopart-clicks.com/click/altium?seller=RS&amp;sku=&amp;country=PL&amp;ref=supplier&amp;</v>
      </c>
      <c r="S5" s="15" t="str">
        <f t="shared" si="4"/>
        <v/>
      </c>
      <c r="T5" s="18"/>
      <c r="U5" s="17"/>
      <c r="V5" s="13" t="str">
        <f t="shared" si="5"/>
        <v>http://pl.farnell.com/</v>
      </c>
      <c r="W5" s="15" t="str">
        <f t="shared" si="6"/>
        <v/>
      </c>
      <c r="X5" s="18"/>
      <c r="Y5" s="17"/>
      <c r="Z5" s="13" t="str">
        <f t="shared" si="7"/>
        <v>http://pl.mouser.com/ProductDetail/</v>
      </c>
      <c r="AA5" s="15" t="str">
        <f t="shared" si="8"/>
        <v/>
      </c>
      <c r="AB5" s="18"/>
      <c r="AC5" s="17"/>
      <c r="AD5" s="13" t="str">
        <f t="shared" si="9"/>
        <v>https://octopart-clicks.com/click/altium?seller=DigiKey&amp;sku=&amp;country=US&amp;ref=supplier&amp;</v>
      </c>
      <c r="AE5" s="15" t="str">
        <f t="shared" si="10"/>
        <v/>
      </c>
      <c r="AF5" s="18"/>
      <c r="AG5" s="17"/>
      <c r="AH5" s="17"/>
      <c r="AI5" s="13"/>
      <c r="AJ5" s="15" t="str">
        <f t="shared" si="11"/>
        <v/>
      </c>
      <c r="AK5" s="16"/>
      <c r="AL5" s="19"/>
      <c r="AM5" s="19"/>
      <c r="AN5" s="16"/>
      <c r="AO5" s="64" t="str">
        <f>IF(AN5 = "PLN", AL5*AM5, IF(AN5 = "EUR", AL5*AM5*'Do NOT Modify'!$J$6, IF(AN5 = "USD", AL5*AM5*'Do NOT Modify'!$J$3, IF(AN5 = "GBP", AL5*AM5*'Do NOT Modify'!$J$9, IF(AN5= "", "", "CURRENCY ERROR")))))</f>
        <v/>
      </c>
      <c r="AP5" s="68" t="str">
        <f t="shared" si="12"/>
        <v/>
      </c>
    </row>
    <row r="6" spans="1:43" s="12" customFormat="1" ht="4.5" customHeight="1" thickBot="1" x14ac:dyDescent="0.25">
      <c r="A6" s="42"/>
      <c r="B6" s="16"/>
      <c r="C6" s="14"/>
      <c r="D6" s="65"/>
      <c r="E6" s="70"/>
      <c r="F6" s="70"/>
      <c r="G6" s="70"/>
      <c r="H6" s="70"/>
      <c r="I6" s="14"/>
      <c r="J6" s="14"/>
      <c r="K6" s="18"/>
      <c r="L6" s="18"/>
      <c r="M6" s="17"/>
      <c r="N6" s="13"/>
      <c r="O6" s="15"/>
      <c r="P6" s="18"/>
      <c r="Q6" s="17"/>
      <c r="R6" s="13"/>
      <c r="S6" s="15"/>
      <c r="T6" s="18"/>
      <c r="U6" s="17"/>
      <c r="V6" s="13"/>
      <c r="W6" s="15"/>
      <c r="X6" s="18"/>
      <c r="Y6" s="17"/>
      <c r="Z6" s="13"/>
      <c r="AA6" s="15"/>
      <c r="AB6" s="18"/>
      <c r="AC6" s="17"/>
      <c r="AD6" s="13"/>
      <c r="AE6" s="66"/>
      <c r="AF6" s="28"/>
      <c r="AG6" s="17"/>
      <c r="AH6" s="17"/>
      <c r="AI6" s="13"/>
      <c r="AJ6" s="29"/>
      <c r="AK6" s="30"/>
      <c r="AL6" s="30"/>
      <c r="AM6" s="30"/>
      <c r="AN6" s="16"/>
      <c r="AO6" s="64"/>
      <c r="AP6" s="30"/>
      <c r="AQ6" s="69"/>
    </row>
    <row r="7" spans="1:43" ht="23.25" customHeight="1" thickTop="1" x14ac:dyDescent="0.2"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O7" s="25"/>
      <c r="P7" s="25"/>
      <c r="S7" s="25"/>
      <c r="T7" s="25"/>
      <c r="W7" s="25"/>
      <c r="X7" s="25"/>
      <c r="AA7" s="25"/>
      <c r="AB7" s="25"/>
      <c r="AE7" s="25"/>
      <c r="AM7" s="27"/>
      <c r="AN7" s="26" t="s">
        <v>66</v>
      </c>
      <c r="AO7" s="43">
        <f>SUM(AO3:AO5)</f>
        <v>0</v>
      </c>
      <c r="AP7" s="24"/>
    </row>
    <row r="8" spans="1:43" ht="26.25" thickBot="1" x14ac:dyDescent="0.25">
      <c r="AN8" s="71" t="s">
        <v>67</v>
      </c>
      <c r="AO8" s="43">
        <f>SUM(AO4:AO6)*1.23</f>
        <v>0</v>
      </c>
      <c r="AP8" s="72"/>
    </row>
    <row r="9" spans="1:43" ht="13.5" thickTop="1" x14ac:dyDescent="0.2">
      <c r="AN9" s="25"/>
      <c r="AO9" s="25"/>
    </row>
  </sheetData>
  <autoFilter ref="A2:AP5"/>
  <mergeCells count="3">
    <mergeCell ref="A1:B1"/>
    <mergeCell ref="C1:J1"/>
    <mergeCell ref="K1:M1"/>
  </mergeCells>
  <phoneticPr fontId="2" type="noConversion"/>
  <pageMargins left="0.75" right="0.75" top="1" bottom="1" header="0.5" footer="0.5"/>
  <pageSetup paperSize="9" scale="74" orientation="landscape" horizontalDpi="360" verticalDpi="36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>
          <x14:formula1>
            <xm:f>'Do NOT Modify'!$B$1:$B$6</xm:f>
          </x14:formula1>
          <xm:sqref>AK6</xm:sqref>
        </x14:dataValidation>
        <x14:dataValidation type="list" allowBlank="1" showInputMessage="1" showErrorMessage="1">
          <x14:formula1>
            <xm:f>'Do NOT Modify'!$C$1:$C$4</xm:f>
          </x14:formula1>
          <xm:sqref>AN3:AN6</xm:sqref>
        </x14:dataValidation>
        <x14:dataValidation type="list" allowBlank="1" showInputMessage="1" showErrorMessage="1">
          <x14:formula1>
            <xm:f>'Do NOT Modify'!$B$1:$B$7</xm:f>
          </x14:formula1>
          <xm:sqref>AK3:AK5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5"/>
  <sheetViews>
    <sheetView workbookViewId="0">
      <selection activeCell="E22" sqref="E22"/>
    </sheetView>
  </sheetViews>
  <sheetFormatPr defaultRowHeight="12.75" x14ac:dyDescent="0.2"/>
  <cols>
    <col min="2" max="2" width="15.7109375" customWidth="1"/>
    <col min="4" max="4" width="16.28515625" bestFit="1" customWidth="1"/>
    <col min="5" max="5" width="11.140625" bestFit="1" customWidth="1"/>
    <col min="6" max="6" width="6.5703125" bestFit="1" customWidth="1"/>
    <col min="7" max="7" width="10.140625" bestFit="1" customWidth="1"/>
    <col min="8" max="8" width="14.5703125" customWidth="1"/>
    <col min="9" max="9" width="16.5703125" customWidth="1"/>
    <col min="10" max="10" width="14.42578125" customWidth="1"/>
    <col min="11" max="11" width="23.42578125" customWidth="1"/>
  </cols>
  <sheetData>
    <row r="1" spans="1:11" x14ac:dyDescent="0.2">
      <c r="A1" s="3" t="s">
        <v>36</v>
      </c>
      <c r="B1" s="4" t="s">
        <v>35</v>
      </c>
      <c r="C1" s="46" t="s">
        <v>47</v>
      </c>
      <c r="D1" s="61"/>
      <c r="E1" s="63"/>
      <c r="F1" s="58"/>
      <c r="G1" s="60"/>
      <c r="H1" s="59"/>
      <c r="I1" s="59"/>
      <c r="J1" s="60"/>
      <c r="K1" s="44"/>
    </row>
    <row r="2" spans="1:11" x14ac:dyDescent="0.2">
      <c r="A2" s="5" t="s">
        <v>37</v>
      </c>
      <c r="B2" s="6" t="s">
        <v>43</v>
      </c>
      <c r="C2" s="47" t="s">
        <v>48</v>
      </c>
      <c r="D2" s="62"/>
      <c r="E2" s="62"/>
      <c r="F2" s="50"/>
      <c r="G2" s="50"/>
      <c r="H2" s="50" t="s">
        <v>57</v>
      </c>
      <c r="I2" s="50" t="s">
        <v>58</v>
      </c>
      <c r="J2" s="52" t="s">
        <v>59</v>
      </c>
      <c r="K2" s="53" t="s">
        <v>60</v>
      </c>
    </row>
    <row r="3" spans="1:11" x14ac:dyDescent="0.2">
      <c r="A3" s="5" t="s">
        <v>38</v>
      </c>
      <c r="B3" s="6" t="s">
        <v>44</v>
      </c>
      <c r="C3" s="47" t="s">
        <v>49</v>
      </c>
      <c r="D3" s="54"/>
      <c r="E3" s="54"/>
      <c r="F3" s="54"/>
      <c r="G3" s="54"/>
      <c r="H3" s="54">
        <f>IF(ISNUMBER(F3), F3, VALUE(SUBSTITUTE(F3, ",", ".")))</f>
        <v>3.9799000000000002</v>
      </c>
      <c r="I3" s="54">
        <f>IF(ISNUMBER(G3), G3, VALUE(SUBSTITUTE(G3, ",", ".")))</f>
        <v>4.0602999999999998</v>
      </c>
      <c r="J3" s="55">
        <f>AVERAGE(H3:I3)</f>
        <v>4.0201000000000002</v>
      </c>
      <c r="K3" s="45" t="b">
        <f>ISNUMBER(J3)</f>
        <v>1</v>
      </c>
    </row>
    <row r="4" spans="1:11" x14ac:dyDescent="0.2">
      <c r="A4" s="5" t="s">
        <v>39</v>
      </c>
      <c r="B4" s="6" t="s">
        <v>45</v>
      </c>
      <c r="C4" s="48" t="s">
        <v>56</v>
      </c>
      <c r="D4" s="51"/>
      <c r="E4" s="51"/>
      <c r="F4" s="51"/>
      <c r="G4" s="51"/>
      <c r="H4" s="51">
        <f t="shared" ref="H4:H15" si="0">IF(ISNUMBER(F4), F4, VALUE(SUBSTITUTE(F4, ",", ".")))</f>
        <v>3.0081000000000002</v>
      </c>
      <c r="I4" s="51">
        <f t="shared" ref="I4:I15" si="1">IF(ISNUMBER(G4), G4, VALUE(SUBSTITUTE(G4, ",", ".")))</f>
        <v>3.0689000000000002</v>
      </c>
      <c r="J4" s="56">
        <f t="shared" ref="J4:J15" si="2">AVERAGE(H4:I4)</f>
        <v>3.0385</v>
      </c>
      <c r="K4" s="44" t="b">
        <f t="shared" ref="K4:K15" si="3">ISNUMBER(J4)</f>
        <v>1</v>
      </c>
    </row>
    <row r="5" spans="1:11" x14ac:dyDescent="0.2">
      <c r="A5" s="5" t="s">
        <v>40</v>
      </c>
      <c r="B5" s="6" t="s">
        <v>46</v>
      </c>
      <c r="C5" s="48"/>
      <c r="D5" s="51"/>
      <c r="E5" s="51"/>
      <c r="F5" s="51"/>
      <c r="G5" s="51"/>
      <c r="H5" s="51">
        <f t="shared" si="0"/>
        <v>3.0421</v>
      </c>
      <c r="I5" s="51">
        <f t="shared" si="1"/>
        <v>3.1034999999999999</v>
      </c>
      <c r="J5" s="56">
        <f t="shared" si="2"/>
        <v>3.0728</v>
      </c>
      <c r="K5" s="44" t="b">
        <f t="shared" si="3"/>
        <v>1</v>
      </c>
    </row>
    <row r="6" spans="1:11" ht="13.5" thickBot="1" x14ac:dyDescent="0.25">
      <c r="A6" s="7" t="s">
        <v>41</v>
      </c>
      <c r="B6" s="8" t="s">
        <v>42</v>
      </c>
      <c r="C6" s="49"/>
      <c r="D6" s="54"/>
      <c r="E6" s="54"/>
      <c r="F6" s="54"/>
      <c r="G6" s="54"/>
      <c r="H6" s="54">
        <f t="shared" si="0"/>
        <v>4.2774000000000001</v>
      </c>
      <c r="I6" s="54">
        <f t="shared" si="1"/>
        <v>4.3638000000000003</v>
      </c>
      <c r="J6" s="55">
        <f t="shared" si="2"/>
        <v>4.3206000000000007</v>
      </c>
      <c r="K6" s="45" t="b">
        <f t="shared" si="3"/>
        <v>1</v>
      </c>
    </row>
    <row r="7" spans="1:11" x14ac:dyDescent="0.2">
      <c r="B7" s="23" t="s">
        <v>61</v>
      </c>
      <c r="D7" s="51"/>
      <c r="E7" s="51"/>
      <c r="F7" s="51"/>
      <c r="G7" s="51"/>
      <c r="H7" s="51">
        <f t="shared" si="0"/>
        <v>1.3795999999999999</v>
      </c>
      <c r="I7" s="51">
        <f t="shared" si="1"/>
        <v>1.4074</v>
      </c>
      <c r="J7" s="56">
        <f t="shared" si="2"/>
        <v>1.3935</v>
      </c>
      <c r="K7" s="44" t="b">
        <f t="shared" si="3"/>
        <v>1</v>
      </c>
    </row>
    <row r="8" spans="1:11" x14ac:dyDescent="0.2">
      <c r="D8" s="51"/>
      <c r="E8" s="51"/>
      <c r="F8" s="51"/>
      <c r="G8" s="51"/>
      <c r="H8" s="51">
        <f t="shared" si="0"/>
        <v>4.0065</v>
      </c>
      <c r="I8" s="51">
        <f t="shared" si="1"/>
        <v>4.0875000000000004</v>
      </c>
      <c r="J8" s="56">
        <f t="shared" si="2"/>
        <v>4.0470000000000006</v>
      </c>
      <c r="K8" s="44" t="b">
        <f t="shared" si="3"/>
        <v>1</v>
      </c>
    </row>
    <row r="9" spans="1:11" x14ac:dyDescent="0.2">
      <c r="D9" s="54"/>
      <c r="E9" s="54"/>
      <c r="F9" s="54"/>
      <c r="G9" s="54"/>
      <c r="H9" s="54">
        <f t="shared" si="0"/>
        <v>5.0305</v>
      </c>
      <c r="I9" s="54">
        <f t="shared" si="1"/>
        <v>5.1321000000000003</v>
      </c>
      <c r="J9" s="55">
        <f t="shared" si="2"/>
        <v>5.0813000000000006</v>
      </c>
      <c r="K9" s="45" t="b">
        <f t="shared" si="3"/>
        <v>1</v>
      </c>
    </row>
    <row r="10" spans="1:11" x14ac:dyDescent="0.2">
      <c r="D10" s="51"/>
      <c r="E10" s="51"/>
      <c r="F10" s="51"/>
      <c r="G10" s="51"/>
      <c r="H10" s="51">
        <f t="shared" si="0"/>
        <v>3.4958999999999998</v>
      </c>
      <c r="I10" s="51">
        <f t="shared" si="1"/>
        <v>3.5665</v>
      </c>
      <c r="J10" s="56">
        <f t="shared" si="2"/>
        <v>3.5312000000000001</v>
      </c>
      <c r="K10" s="44" t="b">
        <f t="shared" si="3"/>
        <v>1</v>
      </c>
    </row>
    <row r="11" spans="1:11" x14ac:dyDescent="0.2">
      <c r="D11" s="51"/>
      <c r="E11" s="51"/>
      <c r="F11" s="51"/>
      <c r="G11" s="51"/>
      <c r="H11" s="51">
        <f t="shared" si="0"/>
        <v>0.1583</v>
      </c>
      <c r="I11" s="51">
        <f t="shared" si="1"/>
        <v>0.1615</v>
      </c>
      <c r="J11" s="56">
        <f t="shared" si="2"/>
        <v>0.15989999999999999</v>
      </c>
      <c r="K11" s="44" t="b">
        <f t="shared" si="3"/>
        <v>1</v>
      </c>
    </row>
    <row r="12" spans="1:11" x14ac:dyDescent="0.2">
      <c r="D12" s="51"/>
      <c r="E12" s="51"/>
      <c r="F12" s="51"/>
      <c r="G12" s="51"/>
      <c r="H12" s="51">
        <f t="shared" si="0"/>
        <v>0.57520000000000004</v>
      </c>
      <c r="I12" s="51">
        <f t="shared" si="1"/>
        <v>0.58679999999999999</v>
      </c>
      <c r="J12" s="56">
        <f t="shared" si="2"/>
        <v>0.58099999999999996</v>
      </c>
      <c r="K12" s="44" t="b">
        <f t="shared" si="3"/>
        <v>1</v>
      </c>
    </row>
    <row r="13" spans="1:11" x14ac:dyDescent="0.2">
      <c r="D13" s="51"/>
      <c r="E13" s="51"/>
      <c r="F13" s="51"/>
      <c r="G13" s="51"/>
      <c r="H13" s="51">
        <f t="shared" si="0"/>
        <v>0.48209999999999997</v>
      </c>
      <c r="I13" s="51">
        <f t="shared" si="1"/>
        <v>0.4919</v>
      </c>
      <c r="J13" s="56">
        <f t="shared" si="2"/>
        <v>0.48699999999999999</v>
      </c>
      <c r="K13" s="44" t="b">
        <f t="shared" si="3"/>
        <v>1</v>
      </c>
    </row>
    <row r="14" spans="1:11" x14ac:dyDescent="0.2">
      <c r="D14" s="51"/>
      <c r="E14" s="51"/>
      <c r="F14" s="51"/>
      <c r="G14" s="51"/>
      <c r="H14" s="51">
        <f t="shared" si="0"/>
        <v>0.45379999999999998</v>
      </c>
      <c r="I14" s="51">
        <f t="shared" si="1"/>
        <v>0.46300000000000002</v>
      </c>
      <c r="J14" s="56">
        <f t="shared" si="2"/>
        <v>0.45840000000000003</v>
      </c>
      <c r="K14" s="44" t="b">
        <f t="shared" si="3"/>
        <v>1</v>
      </c>
    </row>
    <row r="15" spans="1:11" x14ac:dyDescent="0.2">
      <c r="D15" s="51"/>
      <c r="E15" s="51"/>
      <c r="F15" s="51"/>
      <c r="G15" s="57"/>
      <c r="H15" s="51">
        <f t="shared" si="0"/>
        <v>5.4042000000000003</v>
      </c>
      <c r="I15" s="51">
        <f t="shared" si="1"/>
        <v>5.5133999999999999</v>
      </c>
      <c r="J15" s="56">
        <f t="shared" si="2"/>
        <v>5.4588000000000001</v>
      </c>
      <c r="K15" s="44" t="b">
        <f t="shared" si="3"/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BOM</vt:lpstr>
      <vt:lpstr>Do NOT Modify</vt:lpstr>
      <vt:lpstr>'Do NOT Modify'!KursyC</vt:lpstr>
      <vt:lpstr>BOM!Print_Area</vt:lpstr>
    </vt:vector>
  </TitlesOfParts>
  <Company>Altium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michals</dc:creator>
  <cp:lastModifiedBy>michals</cp:lastModifiedBy>
  <cp:lastPrinted>2005-05-18T04:03:43Z</cp:lastPrinted>
  <dcterms:created xsi:type="dcterms:W3CDTF">2005-05-18T01:53:09Z</dcterms:created>
  <dcterms:modified xsi:type="dcterms:W3CDTF">2017-02-02T11:10:15Z</dcterms:modified>
</cp:coreProperties>
</file>